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etails"/>
    <sheet r:id="rId2" sheetId="2" name="Cost"/>
    <sheet r:id="rId3" sheetId="3" name="Driver"/>
  </sheets>
  <calcPr fullCalcOnLoad="1"/>
</workbook>
</file>

<file path=xl/sharedStrings.xml><?xml version="1.0" encoding="utf-8"?>
<sst xmlns="http://schemas.openxmlformats.org/spreadsheetml/2006/main" count="148" uniqueCount="93">
  <si>
    <t>Driver salary = 200 KWD</t>
  </si>
  <si>
    <t>Tarun's data</t>
  </si>
  <si>
    <t>Days</t>
  </si>
  <si>
    <t>no. of drivers</t>
  </si>
  <si>
    <t>Hours</t>
  </si>
  <si>
    <t>total pay of drivers</t>
  </si>
  <si>
    <t>Total working hours</t>
  </si>
  <si>
    <t>Salary per Driver</t>
  </si>
  <si>
    <t>Monthly Pay</t>
  </si>
  <si>
    <t>800-850 USD</t>
  </si>
  <si>
    <t>Driver Salary / Hour</t>
  </si>
  <si>
    <t>Pay/hr</t>
  </si>
  <si>
    <t>USD</t>
  </si>
  <si>
    <t>Total OT Salary</t>
  </si>
  <si>
    <t>Overtime standard</t>
  </si>
  <si>
    <t>times the standard salary</t>
  </si>
  <si>
    <t>OT per driver</t>
  </si>
  <si>
    <t>Overtime pay/hr</t>
  </si>
  <si>
    <t>OT per driver/day</t>
  </si>
  <si>
    <t>paid (dayoffs)</t>
  </si>
  <si>
    <t>OT time needed</t>
  </si>
  <si>
    <t>hrs</t>
  </si>
  <si>
    <t>OT Rate /hour</t>
  </si>
  <si>
    <t>Assuming 2 hours OT daily</t>
  </si>
  <si>
    <t xml:space="preserve">Pilot </t>
  </si>
  <si>
    <t>Current</t>
  </si>
  <si>
    <t>OT salary</t>
  </si>
  <si>
    <t>for 13 drivers</t>
  </si>
  <si>
    <t>OT new model</t>
  </si>
  <si>
    <t>Project Objective  - To achieve minmum overtime for Drivers in a day. Schedule buses accordingly.</t>
  </si>
  <si>
    <t>Kuwait All Market</t>
  </si>
  <si>
    <t>Kuwait Pilot - existing</t>
  </si>
  <si>
    <t>Kuwait Pilot New Model</t>
  </si>
  <si>
    <t>Kuwait (All accomodations)</t>
  </si>
  <si>
    <t>Mahboula - Current</t>
  </si>
  <si>
    <t>Mahboula - New Model</t>
  </si>
  <si>
    <t>Line Name</t>
  </si>
  <si>
    <t>$ PM Avg.</t>
  </si>
  <si>
    <t>per bus</t>
  </si>
  <si>
    <t>Fuel</t>
  </si>
  <si>
    <t>Maintenance</t>
  </si>
  <si>
    <t>Insurance</t>
  </si>
  <si>
    <t>Driver salaries</t>
  </si>
  <si>
    <t>Driver Salaries</t>
  </si>
  <si>
    <t>Driver OT</t>
  </si>
  <si>
    <t>Employee Overtime</t>
  </si>
  <si>
    <t>Total</t>
  </si>
  <si>
    <t>Savings</t>
  </si>
  <si>
    <t>Vehicles</t>
  </si>
  <si>
    <t>Driver</t>
  </si>
  <si>
    <t>KM covered</t>
  </si>
  <si>
    <t>Milege</t>
  </si>
  <si>
    <t>Kuwait Market</t>
  </si>
  <si>
    <t>Kuwait Market Pilot</t>
  </si>
  <si>
    <t>Parameter</t>
  </si>
  <si>
    <t>Value</t>
  </si>
  <si>
    <t>Description</t>
  </si>
  <si>
    <t>Total Stores</t>
  </si>
  <si>
    <t>Total stores in Kuwait</t>
  </si>
  <si>
    <t>Total stores to be covered in Pilot</t>
  </si>
  <si>
    <t>Total Employees</t>
  </si>
  <si>
    <t>Total Employees in Kuwait</t>
  </si>
  <si>
    <t>Vehicle No</t>
  </si>
  <si>
    <t>Type 1 - 22 Seater - 39 
Type 2 - 14 Seater  (Reserved) - 2</t>
  </si>
  <si>
    <t xml:space="preserve">Type 1 - 22 Seater - 13 
Type 2 - 14 Seater(Reserved) - 2 </t>
  </si>
  <si>
    <t>Vehicle Type</t>
  </si>
  <si>
    <t>2 Vehicle Type</t>
  </si>
  <si>
    <t>Type 1 - 22 Seater
Type 2 - 14 Seater (Reserved)</t>
  </si>
  <si>
    <t>Type 1 - 22 Seater - 80km - max speed
Type 2 - 14 Seater (Reserved) - 120 km - max speed</t>
  </si>
  <si>
    <t>speed_kmph</t>
  </si>
  <si>
    <t>Average vehicle speed (km/h)</t>
  </si>
  <si>
    <t>max_transit_time</t>
  </si>
  <si>
    <t>90 min</t>
  </si>
  <si>
    <t>Max time (minutes) an employee can be on a vehicle</t>
  </si>
  <si>
    <t>max_trip_duration</t>
  </si>
  <si>
    <t>300 min</t>
  </si>
  <si>
    <t>Max duration of a single trip</t>
  </si>
  <si>
    <t>max_stops</t>
  </si>
  <si>
    <t>Maximum stops per trip</t>
  </si>
  <si>
    <t>max_trips</t>
  </si>
  <si>
    <t>Maximum trips to construct</t>
  </si>
  <si>
    <t>max_rest_per_cluster</t>
  </si>
  <si>
    <t>Max restaurants per cluster</t>
  </si>
  <si>
    <t>max_staff_per_trip</t>
  </si>
  <si>
    <t>Max staff per trip</t>
  </si>
  <si>
    <t>distance_threshold</t>
  </si>
  <si>
    <t>5000 km</t>
  </si>
  <si>
    <t>Distance threshold for clustering</t>
  </si>
  <si>
    <t>Max Accomodation per trip</t>
  </si>
  <si>
    <t>Max accommodations per trip (hardcoded line 501)</t>
  </si>
  <si>
    <t>Max Grace Period</t>
  </si>
  <si>
    <t>30 mins</t>
  </si>
  <si>
    <t>Grace period before forced drop-off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</si>
</sst>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be3d6"/>
      </patternFill>
    </fill>
    <fill>
      <patternFill patternType="solid">
        <fgColor rgb="FFffc000"/>
      </patternFill>
    </fill>
    <fill>
      <patternFill patternType="solid">
        <fgColor rgb="FF163e64"/>
      </patternFill>
    </fill>
    <fill>
      <patternFill patternType="solid">
        <fgColor rgb="FF215f9a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0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4" applyNumberFormat="1" borderId="1" applyBorder="1" fontId="1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0" borderId="1" applyBorder="1" fontId="3" applyFont="1" fillId="5" applyFill="1" applyAlignment="1">
      <alignment horizontal="left"/>
    </xf>
    <xf xfId="0" numFmtId="3" applyNumberFormat="1" borderId="1" applyBorder="1" fontId="3" applyFont="1" fillId="5" applyFill="1" applyAlignment="1">
      <alignment horizontal="left"/>
    </xf>
    <xf xfId="0" numFmtId="4" applyNumberFormat="1" borderId="1" applyBorder="1" fontId="3" applyFont="1" fillId="5" applyFill="1" applyAlignment="1">
      <alignment horizontal="left"/>
    </xf>
    <xf xfId="0" numFmtId="0" borderId="2" applyBorder="1" fontId="3" applyFont="1" fillId="0" applyAlignment="1">
      <alignment horizontal="left"/>
    </xf>
    <xf xfId="0" numFmtId="0" borderId="3" applyBorder="1" fontId="3" applyFont="1" fillId="5" applyFill="1" applyAlignment="1">
      <alignment horizontal="left"/>
    </xf>
    <xf xfId="0" numFmtId="3" applyNumberFormat="1" borderId="3" applyBorder="1" fontId="3" applyFont="1" fillId="5" applyFill="1" applyAlignment="1">
      <alignment horizontal="left"/>
    </xf>
    <xf xfId="0" numFmtId="0" borderId="0" fontId="0" fillId="0" applyAlignment="1">
      <alignment wrapText="1"/>
    </xf>
    <xf xfId="0" numFmtId="0" borderId="1" applyBorder="1" fontId="3" applyFont="1" fillId="6" applyFill="1" applyAlignment="1">
      <alignment horizontal="left" wrapText="1"/>
    </xf>
    <xf xfId="0" numFmtId="3" applyNumberFormat="1" borderId="1" applyBorder="1" fontId="3" applyFont="1" fillId="6" applyFill="1" applyAlignment="1">
      <alignment horizontal="center" wrapText="1"/>
    </xf>
    <xf xfId="0" numFmtId="4" applyNumberFormat="1" borderId="1" applyBorder="1" fontId="3" applyFont="1" fillId="6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3" applyBorder="1" fontId="3" applyFont="1" fillId="6" applyFill="1" applyAlignment="1">
      <alignment horizontal="left" wrapText="1"/>
    </xf>
    <xf xfId="0" numFmtId="3" applyNumberFormat="1" borderId="3" applyBorder="1" fontId="3" applyFont="1" fillId="6" applyFill="1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3" applyBorder="1" fontId="4" applyFont="1" fillId="0" applyAlignment="1">
      <alignment horizontal="left" wrapText="1"/>
    </xf>
    <xf xfId="0" numFmtId="3" applyNumberFormat="1" borderId="3" applyBorder="1" fontId="4" applyFont="1" fillId="0" applyAlignment="1">
      <alignment horizontal="center" wrapText="1"/>
    </xf>
    <xf xfId="0" numFmtId="3" applyNumberFormat="1" borderId="2" applyBorder="1" fontId="4" applyFont="1" fillId="0" applyAlignment="1">
      <alignment horizontal="center" wrapText="1"/>
    </xf>
    <xf xfId="0" numFmtId="0" borderId="3" applyBorder="1" fontId="2" applyFont="1" fillId="0" applyAlignment="1">
      <alignment horizontal="left"/>
    </xf>
    <xf xfId="0" numFmtId="4" applyNumberFormat="1" borderId="3" applyBorder="1" fontId="2" applyFont="1" fillId="0" applyAlignment="1">
      <alignment horizontal="center"/>
    </xf>
    <xf xfId="0" numFmtId="0" borderId="3" applyBorder="1" fontId="1" applyFont="1" fillId="0" applyAlignment="1">
      <alignment horizontal="left" wrapText="1"/>
    </xf>
    <xf xfId="0" numFmtId="3" applyNumberFormat="1" borderId="3" applyBorder="1" fontId="1" applyFont="1" fillId="0" applyAlignment="1">
      <alignment horizontal="center" wrapText="1"/>
    </xf>
    <xf xfId="0" numFmtId="0" borderId="3" applyBorder="1" fontId="1" applyFont="1" fillId="0" applyAlignment="1">
      <alignment horizontal="left"/>
    </xf>
    <xf xfId="0" numFmtId="1" applyNumberFormat="1" borderId="3" applyBorder="1" fontId="1" applyFont="1" fillId="0" applyAlignment="1">
      <alignment horizontal="center" wrapText="1"/>
    </xf>
    <xf xfId="0" numFmtId="3" applyNumberFormat="1" borderId="1" applyBorder="1" fontId="1" applyFont="1" fillId="3" applyFill="1" applyAlignment="1">
      <alignment horizontal="right"/>
    </xf>
    <xf xfId="0" numFmtId="4" applyNumberFormat="1" borderId="2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0" borderId="2" applyBorder="1" fontId="4" applyFont="1" fillId="0" applyAlignment="1">
      <alignment horizontal="left" wrapText="1"/>
    </xf>
    <xf xfId="0" numFmtId="3" applyNumberFormat="1" borderId="2" applyBorder="1" fontId="2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4" applyNumberFormat="1" borderId="0" fontId="0" fillId="0" applyAlignment="1">
      <alignment horizontal="general"/>
    </xf>
    <xf xfId="0" numFmtId="0" borderId="3" applyBorder="1" fontId="1" applyFont="1" fillId="2" applyFill="1" applyAlignment="1">
      <alignment horizontal="center"/>
    </xf>
    <xf xfId="0" numFmtId="3" applyNumberFormat="1" borderId="3" applyBorder="1" fontId="1" applyFont="1" fillId="2" applyFill="1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0" borderId="3" applyBorder="1" fontId="5" applyFont="1" fillId="0" applyAlignment="1">
      <alignment horizontal="left"/>
    </xf>
    <xf xfId="0" numFmtId="0" borderId="3" applyBorder="1" fontId="2" applyFont="1" fillId="0" applyAlignment="1">
      <alignment horizontal="left" wrapText="1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/>
  </sheetViews>
  <sheetFormatPr defaultRowHeight="15" x14ac:dyDescent="0.25"/>
  <cols>
    <col min="1" max="1" style="10" width="22.576428571428572" customWidth="1" bestFit="1"/>
    <col min="2" max="2" style="56" width="12.147857142857141" customWidth="1" bestFit="1"/>
    <col min="3" max="3" style="10" width="43.14785714285715" customWidth="1" bestFit="1"/>
    <col min="4" max="4" style="10" width="14.147857142857141" customWidth="1" bestFit="1"/>
    <col min="5" max="5" style="10" width="22.576428571428572" customWidth="1" bestFit="1"/>
    <col min="6" max="6" style="56" width="12.290714285714287" customWidth="1" bestFit="1"/>
    <col min="7" max="7" style="10" width="43.14785714285715" customWidth="1" bestFit="1"/>
  </cols>
  <sheetData>
    <row x14ac:dyDescent="0.25" r="1" customHeight="1" ht="19.5">
      <c r="A1" s="50" t="s">
        <v>52</v>
      </c>
      <c r="B1" s="51"/>
      <c r="C1" s="50"/>
      <c r="D1" s="3"/>
      <c r="E1" s="50" t="s">
        <v>53</v>
      </c>
      <c r="F1" s="51"/>
      <c r="G1" s="50"/>
    </row>
    <row x14ac:dyDescent="0.25" r="2" customHeight="1" ht="19.5">
      <c r="A2" s="52" t="s">
        <v>54</v>
      </c>
      <c r="B2" s="53" t="s">
        <v>55</v>
      </c>
      <c r="C2" s="52" t="s">
        <v>56</v>
      </c>
      <c r="D2" s="3"/>
      <c r="E2" s="52" t="s">
        <v>54</v>
      </c>
      <c r="F2" s="53" t="s">
        <v>55</v>
      </c>
      <c r="G2" s="52" t="s">
        <v>56</v>
      </c>
    </row>
    <row x14ac:dyDescent="0.25" r="3" customHeight="1" ht="19.5">
      <c r="A3" s="54" t="s">
        <v>57</v>
      </c>
      <c r="B3" s="43">
        <v>273</v>
      </c>
      <c r="C3" s="35" t="s">
        <v>58</v>
      </c>
      <c r="D3" s="3"/>
      <c r="E3" s="54" t="s">
        <v>57</v>
      </c>
      <c r="F3" s="43">
        <v>93</v>
      </c>
      <c r="G3" s="35" t="s">
        <v>59</v>
      </c>
    </row>
    <row x14ac:dyDescent="0.25" r="4" customHeight="1" ht="19.5">
      <c r="A4" s="54" t="s">
        <v>60</v>
      </c>
      <c r="B4" s="43">
        <v>2100</v>
      </c>
      <c r="C4" s="35" t="s">
        <v>61</v>
      </c>
      <c r="D4" s="3"/>
      <c r="E4" s="54" t="s">
        <v>60</v>
      </c>
      <c r="F4" s="43">
        <v>720</v>
      </c>
      <c r="G4" s="35" t="s">
        <v>61</v>
      </c>
    </row>
    <row x14ac:dyDescent="0.25" r="5" customHeight="1" ht="19.5">
      <c r="A5" s="54" t="s">
        <v>62</v>
      </c>
      <c r="B5" s="43">
        <v>41</v>
      </c>
      <c r="C5" s="55" t="s">
        <v>63</v>
      </c>
      <c r="D5" s="3"/>
      <c r="E5" s="54" t="s">
        <v>62</v>
      </c>
      <c r="F5" s="43">
        <v>15</v>
      </c>
      <c r="G5" s="55" t="s">
        <v>64</v>
      </c>
    </row>
    <row x14ac:dyDescent="0.25" r="6" customHeight="1" ht="19.5">
      <c r="A6" s="54" t="s">
        <v>65</v>
      </c>
      <c r="B6" s="43" t="s">
        <v>66</v>
      </c>
      <c r="C6" s="55" t="s">
        <v>67</v>
      </c>
      <c r="D6" s="3"/>
      <c r="E6" s="54" t="s">
        <v>65</v>
      </c>
      <c r="F6" s="43" t="s">
        <v>66</v>
      </c>
      <c r="G6" s="55" t="s">
        <v>68</v>
      </c>
    </row>
    <row x14ac:dyDescent="0.25" r="7" customHeight="1" ht="19.5">
      <c r="A7" s="54" t="s">
        <v>69</v>
      </c>
      <c r="B7" s="43">
        <v>75</v>
      </c>
      <c r="C7" s="35" t="s">
        <v>70</v>
      </c>
      <c r="D7" s="3"/>
      <c r="E7" s="54" t="s">
        <v>69</v>
      </c>
      <c r="F7" s="43">
        <v>75</v>
      </c>
      <c r="G7" s="35" t="s">
        <v>70</v>
      </c>
    </row>
    <row x14ac:dyDescent="0.25" r="8" customHeight="1" ht="19.5">
      <c r="A8" s="54" t="s">
        <v>71</v>
      </c>
      <c r="B8" s="43" t="s">
        <v>72</v>
      </c>
      <c r="C8" s="35" t="s">
        <v>73</v>
      </c>
      <c r="D8" s="3"/>
      <c r="E8" s="54" t="s">
        <v>71</v>
      </c>
      <c r="F8" s="43" t="s">
        <v>72</v>
      </c>
      <c r="G8" s="35" t="s">
        <v>73</v>
      </c>
    </row>
    <row x14ac:dyDescent="0.25" r="9" customHeight="1" ht="19.5">
      <c r="A9" s="54" t="s">
        <v>74</v>
      </c>
      <c r="B9" s="43" t="s">
        <v>75</v>
      </c>
      <c r="C9" s="35" t="s">
        <v>76</v>
      </c>
      <c r="D9" s="3"/>
      <c r="E9" s="54" t="s">
        <v>74</v>
      </c>
      <c r="F9" s="43" t="s">
        <v>75</v>
      </c>
      <c r="G9" s="35" t="s">
        <v>76</v>
      </c>
    </row>
    <row x14ac:dyDescent="0.25" r="10" customHeight="1" ht="19.5">
      <c r="A10" s="54" t="s">
        <v>77</v>
      </c>
      <c r="B10" s="43">
        <v>15</v>
      </c>
      <c r="C10" s="35" t="s">
        <v>78</v>
      </c>
      <c r="D10" s="3"/>
      <c r="E10" s="54" t="s">
        <v>77</v>
      </c>
      <c r="F10" s="43">
        <v>15</v>
      </c>
      <c r="G10" s="35" t="s">
        <v>78</v>
      </c>
    </row>
    <row x14ac:dyDescent="0.25" r="11" customHeight="1" ht="19.5">
      <c r="A11" s="54" t="s">
        <v>79</v>
      </c>
      <c r="B11" s="43">
        <v>100</v>
      </c>
      <c r="C11" s="35" t="s">
        <v>80</v>
      </c>
      <c r="D11" s="3"/>
      <c r="E11" s="54" t="s">
        <v>79</v>
      </c>
      <c r="F11" s="43">
        <v>100</v>
      </c>
      <c r="G11" s="35" t="s">
        <v>80</v>
      </c>
    </row>
    <row x14ac:dyDescent="0.25" r="12" customHeight="1" ht="19.5">
      <c r="A12" s="54" t="s">
        <v>81</v>
      </c>
      <c r="B12" s="43">
        <v>5000</v>
      </c>
      <c r="C12" s="35" t="s">
        <v>82</v>
      </c>
      <c r="D12" s="3"/>
      <c r="E12" s="54" t="s">
        <v>81</v>
      </c>
      <c r="F12" s="43">
        <v>5000</v>
      </c>
      <c r="G12" s="35" t="s">
        <v>82</v>
      </c>
    </row>
    <row x14ac:dyDescent="0.25" r="13" customHeight="1" ht="19.5">
      <c r="A13" s="54" t="s">
        <v>83</v>
      </c>
      <c r="B13" s="43">
        <v>5000</v>
      </c>
      <c r="C13" s="35" t="s">
        <v>84</v>
      </c>
      <c r="D13" s="3"/>
      <c r="E13" s="54" t="s">
        <v>83</v>
      </c>
      <c r="F13" s="43">
        <v>5000</v>
      </c>
      <c r="G13" s="35" t="s">
        <v>84</v>
      </c>
    </row>
    <row x14ac:dyDescent="0.25" r="14" customHeight="1" ht="19.5">
      <c r="A14" s="54" t="s">
        <v>85</v>
      </c>
      <c r="B14" s="43" t="s">
        <v>86</v>
      </c>
      <c r="C14" s="35" t="s">
        <v>87</v>
      </c>
      <c r="D14" s="3"/>
      <c r="E14" s="54" t="s">
        <v>85</v>
      </c>
      <c r="F14" s="43" t="s">
        <v>86</v>
      </c>
      <c r="G14" s="35" t="s">
        <v>87</v>
      </c>
    </row>
    <row x14ac:dyDescent="0.25" r="15" customHeight="1" ht="19.5">
      <c r="A15" s="54" t="s">
        <v>88</v>
      </c>
      <c r="B15" s="43">
        <v>1</v>
      </c>
      <c r="C15" s="35" t="s">
        <v>89</v>
      </c>
      <c r="D15" s="3"/>
      <c r="E15" s="54" t="s">
        <v>88</v>
      </c>
      <c r="F15" s="43">
        <v>1</v>
      </c>
      <c r="G15" s="35" t="s">
        <v>89</v>
      </c>
    </row>
    <row x14ac:dyDescent="0.25" r="16" customHeight="1" ht="19.5">
      <c r="A16" s="54" t="s">
        <v>90</v>
      </c>
      <c r="B16" s="43" t="s">
        <v>91</v>
      </c>
      <c r="C16" s="55" t="s">
        <v>92</v>
      </c>
      <c r="D16" s="3"/>
      <c r="E16" s="54" t="s">
        <v>90</v>
      </c>
      <c r="F16" s="43" t="s">
        <v>91</v>
      </c>
      <c r="G16" s="55" t="s">
        <v>92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8"/>
  <sheetViews>
    <sheetView workbookViewId="0" tabSelected="1"/>
  </sheetViews>
  <sheetFormatPr defaultRowHeight="15" x14ac:dyDescent="0.25"/>
  <cols>
    <col min="1" max="1" style="10" width="22.719285714285714" customWidth="1" bestFit="1"/>
    <col min="2" max="2" style="11" width="15.43357142857143" customWidth="1" bestFit="1"/>
    <col min="3" max="3" style="49" width="14.576428571428572" customWidth="1" bestFit="1"/>
    <col min="4" max="4" style="10" width="5.862142857142857" customWidth="1" bestFit="1"/>
    <col min="5" max="5" style="10" width="16.576428571428572" customWidth="1" bestFit="1"/>
    <col min="6" max="6" style="11" width="15.005" customWidth="1" bestFit="1"/>
    <col min="7" max="7" style="10" width="5.862142857142857" customWidth="1" bestFit="1"/>
    <col min="8" max="8" style="10" width="16.576428571428572" customWidth="1" bestFit="1"/>
    <col min="9" max="9" style="11" width="15.005" customWidth="1" bestFit="1"/>
    <col min="10" max="10" style="10" width="14.147857142857141" customWidth="1" bestFit="1"/>
    <col min="11" max="11" style="11" width="14.147857142857141" customWidth="1" bestFit="1"/>
  </cols>
  <sheetData>
    <row x14ac:dyDescent="0.25" r="1" customHeight="1" ht="19.5">
      <c r="A1" s="13" t="s">
        <v>29</v>
      </c>
      <c r="B1" s="14"/>
      <c r="C1" s="15"/>
      <c r="D1" s="13"/>
      <c r="E1" s="13"/>
      <c r="F1" s="16"/>
      <c r="G1" s="17"/>
      <c r="H1" s="17"/>
      <c r="I1" s="16"/>
      <c r="J1" s="3"/>
      <c r="K1" s="2"/>
    </row>
    <row x14ac:dyDescent="0.25" r="2" customHeight="1" ht="19.5">
      <c r="A2" s="18" t="s">
        <v>30</v>
      </c>
      <c r="B2" s="19"/>
      <c r="C2" s="20"/>
      <c r="D2" s="3"/>
      <c r="E2" s="18" t="s">
        <v>31</v>
      </c>
      <c r="F2" s="19"/>
      <c r="G2" s="21"/>
      <c r="H2" s="18" t="s">
        <v>32</v>
      </c>
      <c r="I2" s="19"/>
      <c r="J2" s="3"/>
      <c r="K2" s="2"/>
    </row>
    <row x14ac:dyDescent="0.25" r="3" customHeight="1" ht="19.5">
      <c r="A3" s="18" t="s">
        <v>33</v>
      </c>
      <c r="B3" s="19"/>
      <c r="C3" s="20"/>
      <c r="D3" s="3"/>
      <c r="E3" s="22" t="s">
        <v>34</v>
      </c>
      <c r="F3" s="23"/>
      <c r="G3" s="3"/>
      <c r="H3" s="22" t="s">
        <v>35</v>
      </c>
      <c r="I3" s="23"/>
      <c r="J3" s="3"/>
      <c r="K3" s="2"/>
    </row>
    <row x14ac:dyDescent="0.25" r="4" customHeight="1" ht="19.5" customFormat="1" s="24">
      <c r="A4" s="25" t="s">
        <v>36</v>
      </c>
      <c r="B4" s="26" t="s">
        <v>37</v>
      </c>
      <c r="C4" s="27" t="s">
        <v>38</v>
      </c>
      <c r="D4" s="28"/>
      <c r="E4" s="29" t="s">
        <v>36</v>
      </c>
      <c r="F4" s="30" t="s">
        <v>37</v>
      </c>
      <c r="G4" s="28"/>
      <c r="H4" s="29" t="s">
        <v>36</v>
      </c>
      <c r="I4" s="30" t="s">
        <v>37</v>
      </c>
      <c r="J4" s="28"/>
      <c r="K4" s="31"/>
    </row>
    <row x14ac:dyDescent="0.25" r="5" customHeight="1" ht="19.5">
      <c r="A5" s="32" t="s">
        <v>39</v>
      </c>
      <c r="B5" s="33">
        <v>17602</v>
      </c>
      <c r="C5" s="34">
        <f>B5/$B$13</f>
      </c>
      <c r="D5" s="3"/>
      <c r="E5" s="35" t="s">
        <v>39</v>
      </c>
      <c r="F5" s="36">
        <f>B5*F$12/B$13</f>
      </c>
      <c r="G5" s="3"/>
      <c r="H5" s="35" t="s">
        <v>39</v>
      </c>
      <c r="I5" s="36">
        <f>F5</f>
      </c>
      <c r="J5" s="3"/>
      <c r="K5" s="2"/>
    </row>
    <row x14ac:dyDescent="0.25" r="6" customHeight="1" ht="19.5">
      <c r="A6" s="32" t="s">
        <v>40</v>
      </c>
      <c r="B6" s="33">
        <v>15826</v>
      </c>
      <c r="C6" s="34">
        <f>B6/$B$13</f>
      </c>
      <c r="D6" s="3"/>
      <c r="E6" s="35" t="s">
        <v>40</v>
      </c>
      <c r="F6" s="36">
        <f>B6*F$12/B$13</f>
      </c>
      <c r="G6" s="3"/>
      <c r="H6" s="35" t="s">
        <v>40</v>
      </c>
      <c r="I6" s="36">
        <f>F6*I$12/F$12</f>
      </c>
      <c r="J6" s="3"/>
      <c r="K6" s="2"/>
    </row>
    <row x14ac:dyDescent="0.25" r="7" customHeight="1" ht="19.5">
      <c r="A7" s="32" t="s">
        <v>41</v>
      </c>
      <c r="B7" s="33">
        <v>3125</v>
      </c>
      <c r="C7" s="34">
        <f>B7/$B$13</f>
      </c>
      <c r="D7" s="3"/>
      <c r="E7" s="35" t="s">
        <v>41</v>
      </c>
      <c r="F7" s="36">
        <f>B7*F$12/B$13</f>
      </c>
      <c r="G7" s="3"/>
      <c r="H7" s="35" t="s">
        <v>41</v>
      </c>
      <c r="I7" s="36">
        <f>F7*I$12/F$12</f>
      </c>
      <c r="J7" s="3"/>
      <c r="K7" s="2"/>
    </row>
    <row x14ac:dyDescent="0.25" r="8" customHeight="1" ht="19.5">
      <c r="A8" s="32" t="s">
        <v>42</v>
      </c>
      <c r="B8" s="33">
        <v>42474</v>
      </c>
      <c r="C8" s="34">
        <f>B8/$B$14</f>
      </c>
      <c r="D8" s="3"/>
      <c r="E8" s="35" t="s">
        <v>43</v>
      </c>
      <c r="F8" s="36">
        <f>B8*F$12/B$13</f>
      </c>
      <c r="G8" s="3"/>
      <c r="H8" s="35" t="s">
        <v>43</v>
      </c>
      <c r="I8" s="36">
        <f>(F8*12)/13</f>
      </c>
      <c r="J8" s="3"/>
      <c r="K8" s="2"/>
    </row>
    <row x14ac:dyDescent="0.25" r="9" customHeight="1" ht="19.5">
      <c r="A9" s="32" t="s">
        <v>44</v>
      </c>
      <c r="B9" s="33">
        <v>15932</v>
      </c>
      <c r="C9" s="34">
        <f>B9/$B$14</f>
      </c>
      <c r="D9" s="3"/>
      <c r="E9" s="35" t="s">
        <v>44</v>
      </c>
      <c r="F9" s="36">
        <f>B9*F$12/B$13</f>
      </c>
      <c r="G9" s="3"/>
      <c r="H9" s="35" t="s">
        <v>44</v>
      </c>
      <c r="I9" s="36">
        <v>4340</v>
      </c>
      <c r="J9" s="3"/>
      <c r="K9" s="2"/>
    </row>
    <row x14ac:dyDescent="0.25" r="10" customHeight="1" ht="19.5">
      <c r="A10" s="32"/>
      <c r="B10" s="33">
        <f>B8+B9</f>
      </c>
      <c r="C10" s="34"/>
      <c r="D10" s="3"/>
      <c r="E10" s="35" t="s">
        <v>45</v>
      </c>
      <c r="F10" s="36">
        <f>B10*F$12/B$13</f>
      </c>
      <c r="G10" s="3"/>
      <c r="H10" s="35" t="s">
        <v>45</v>
      </c>
      <c r="I10" s="36">
        <f>F10*I$12/F$12</f>
      </c>
      <c r="J10" s="3"/>
      <c r="K10" s="2"/>
    </row>
    <row x14ac:dyDescent="0.25" r="11" customHeight="1" ht="19.5">
      <c r="A11" s="37" t="s">
        <v>46</v>
      </c>
      <c r="B11" s="38">
        <f>SUM(B5:B9)</f>
      </c>
      <c r="C11" s="34"/>
      <c r="D11" s="3"/>
      <c r="E11" s="39" t="s">
        <v>46</v>
      </c>
      <c r="F11" s="38">
        <f>SUM(F5:F9)</f>
      </c>
      <c r="G11" s="3"/>
      <c r="H11" s="39" t="s">
        <v>46</v>
      </c>
      <c r="I11" s="40">
        <f>SUM(I5:I9)</f>
      </c>
      <c r="J11" s="8" t="s">
        <v>47</v>
      </c>
      <c r="K11" s="41">
        <f>F11-I11</f>
      </c>
    </row>
    <row x14ac:dyDescent="0.25" r="12" customHeight="1" ht="20.25">
      <c r="A12" s="3"/>
      <c r="B12" s="2"/>
      <c r="C12" s="42">
        <f>C9*42*0.4</f>
      </c>
      <c r="D12" s="3"/>
      <c r="E12" s="32" t="s">
        <v>48</v>
      </c>
      <c r="F12" s="43">
        <v>13</v>
      </c>
      <c r="G12" s="3"/>
      <c r="H12" s="32" t="s">
        <v>48</v>
      </c>
      <c r="I12" s="43">
        <v>10</v>
      </c>
      <c r="J12" s="3"/>
      <c r="K12" s="2"/>
    </row>
    <row x14ac:dyDescent="0.25" r="13" customHeight="1" ht="19.5">
      <c r="A13" s="44" t="s">
        <v>48</v>
      </c>
      <c r="B13" s="45">
        <v>39</v>
      </c>
      <c r="C13" s="46"/>
      <c r="D13" s="3"/>
      <c r="E13" s="3"/>
      <c r="F13" s="2"/>
      <c r="G13" s="3"/>
      <c r="H13" s="3"/>
      <c r="I13" s="2"/>
      <c r="J13" s="3"/>
      <c r="K13" s="2"/>
    </row>
    <row x14ac:dyDescent="0.25" r="14" customHeight="1" ht="19.5">
      <c r="A14" s="44" t="s">
        <v>49</v>
      </c>
      <c r="B14" s="45">
        <v>42</v>
      </c>
      <c r="C14" s="46"/>
      <c r="D14" s="3"/>
      <c r="E14" s="3"/>
      <c r="F14" s="2"/>
      <c r="G14" s="3"/>
      <c r="H14" s="47"/>
      <c r="I14" s="2"/>
      <c r="J14" s="3"/>
      <c r="K14" s="2"/>
    </row>
    <row x14ac:dyDescent="0.25" r="15" customHeight="1" ht="19.5">
      <c r="A15" s="44" t="s">
        <v>50</v>
      </c>
      <c r="B15" s="2"/>
      <c r="C15" s="46"/>
      <c r="D15" s="3"/>
      <c r="E15" s="3"/>
      <c r="F15" s="2"/>
      <c r="G15" s="3"/>
      <c r="H15" s="47"/>
      <c r="I15" s="2"/>
      <c r="J15" s="3"/>
      <c r="K15" s="2"/>
    </row>
    <row x14ac:dyDescent="0.25" r="16" customHeight="1" ht="19.5">
      <c r="A16" s="44" t="s">
        <v>51</v>
      </c>
      <c r="B16" s="2"/>
      <c r="C16" s="46"/>
      <c r="D16" s="3"/>
      <c r="E16" s="3"/>
      <c r="F16" s="2"/>
      <c r="G16" s="3"/>
      <c r="H16" s="47"/>
      <c r="I16" s="2"/>
      <c r="J16" s="3"/>
      <c r="K16" s="2"/>
    </row>
    <row x14ac:dyDescent="0.25" r="17" customHeight="1" ht="19.5">
      <c r="A17" s="3"/>
      <c r="B17" s="2"/>
      <c r="C17" s="46"/>
      <c r="D17" s="3"/>
      <c r="E17" s="3"/>
      <c r="F17" s="2"/>
      <c r="G17" s="3"/>
      <c r="H17" s="3"/>
      <c r="I17" s="2"/>
      <c r="J17" s="3"/>
      <c r="K17" s="2"/>
    </row>
    <row x14ac:dyDescent="0.25" r="18" customHeight="1" ht="19.5">
      <c r="A18" s="3"/>
      <c r="B18" s="2"/>
      <c r="C18" s="46"/>
      <c r="D18" s="3"/>
      <c r="E18" s="3"/>
      <c r="F18" s="2"/>
      <c r="G18" s="3"/>
      <c r="H18" s="47"/>
      <c r="I18" s="48"/>
      <c r="J18" s="3"/>
      <c r="K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5"/>
  <sheetViews>
    <sheetView workbookViewId="0"/>
  </sheetViews>
  <sheetFormatPr defaultRowHeight="15" x14ac:dyDescent="0.25"/>
  <cols>
    <col min="1" max="1" style="10" width="16.433571428571426" customWidth="1" bestFit="1"/>
    <col min="2" max="2" style="11" width="14.147857142857141" customWidth="1" bestFit="1"/>
    <col min="3" max="3" style="10" width="21.433571428571426" customWidth="1" bestFit="1"/>
    <col min="4" max="4" style="10" width="14.147857142857141" customWidth="1" bestFit="1"/>
    <col min="5" max="5" style="10" width="14.147857142857141" customWidth="1" bestFit="1"/>
    <col min="6" max="6" style="10" width="16.290714285714284" customWidth="1" bestFit="1"/>
    <col min="7" max="7" style="12" width="11.862142857142858" customWidth="1" bestFit="1"/>
    <col min="8" max="8" style="10" width="14.147857142857141" customWidth="1" bestFit="1"/>
  </cols>
  <sheetData>
    <row x14ac:dyDescent="0.25" r="1" customHeight="1" ht="19.5">
      <c r="A1" s="1" t="s">
        <v>0</v>
      </c>
      <c r="B1" s="2"/>
      <c r="C1" s="3"/>
      <c r="D1" s="3"/>
      <c r="E1" s="3"/>
      <c r="F1" s="1" t="s">
        <v>1</v>
      </c>
      <c r="G1" s="4"/>
      <c r="H1" s="3"/>
    </row>
    <row x14ac:dyDescent="0.25" r="2" customHeight="1" ht="19.5">
      <c r="A2" s="3" t="s">
        <v>2</v>
      </c>
      <c r="B2" s="5">
        <v>30</v>
      </c>
      <c r="C2" s="3"/>
      <c r="D2" s="3"/>
      <c r="E2" s="3"/>
      <c r="F2" s="3" t="s">
        <v>3</v>
      </c>
      <c r="G2" s="5">
        <v>39</v>
      </c>
      <c r="H2" s="3"/>
    </row>
    <row x14ac:dyDescent="0.25" r="3" customHeight="1" ht="19.5">
      <c r="A3" s="3" t="s">
        <v>4</v>
      </c>
      <c r="B3" s="5">
        <v>9</v>
      </c>
      <c r="C3" s="3"/>
      <c r="D3" s="3"/>
      <c r="E3" s="3"/>
      <c r="F3" s="3" t="s">
        <v>5</v>
      </c>
      <c r="G3" s="5">
        <v>42474</v>
      </c>
      <c r="H3" s="3"/>
    </row>
    <row x14ac:dyDescent="0.25" r="4" customHeight="1" ht="19.5">
      <c r="A4" s="3" t="s">
        <v>6</v>
      </c>
      <c r="B4" s="5">
        <f>B2*B3</f>
      </c>
      <c r="C4" s="3"/>
      <c r="D4" s="3"/>
      <c r="E4" s="3"/>
      <c r="F4" s="3" t="s">
        <v>7</v>
      </c>
      <c r="G4" s="6">
        <f>G3/G2</f>
      </c>
      <c r="H4" s="3"/>
    </row>
    <row x14ac:dyDescent="0.25" r="5" customHeight="1" ht="19.5">
      <c r="A5" s="3" t="s">
        <v>8</v>
      </c>
      <c r="B5" s="7">
        <v>651</v>
      </c>
      <c r="C5" s="8" t="s">
        <v>9</v>
      </c>
      <c r="D5" s="3"/>
      <c r="E5" s="3"/>
      <c r="F5" s="3" t="s">
        <v>10</v>
      </c>
      <c r="G5" s="6">
        <f>G4/B4</f>
      </c>
      <c r="H5" s="3"/>
    </row>
    <row x14ac:dyDescent="0.25" r="6" customHeight="1" ht="19.5">
      <c r="A6" s="3" t="s">
        <v>11</v>
      </c>
      <c r="B6" s="9">
        <f>B5/B4</f>
      </c>
      <c r="C6" s="3" t="s">
        <v>12</v>
      </c>
      <c r="D6" s="3"/>
      <c r="E6" s="3"/>
      <c r="F6" s="3" t="s">
        <v>13</v>
      </c>
      <c r="G6" s="5">
        <v>15932</v>
      </c>
      <c r="H6" s="3"/>
    </row>
    <row x14ac:dyDescent="0.25" r="7" customHeight="1" ht="19.5">
      <c r="A7" s="3" t="s">
        <v>14</v>
      </c>
      <c r="B7" s="6">
        <v>1.5</v>
      </c>
      <c r="C7" s="3" t="s">
        <v>15</v>
      </c>
      <c r="D7" s="3"/>
      <c r="E7" s="3"/>
      <c r="F7" s="3" t="s">
        <v>16</v>
      </c>
      <c r="G7" s="6">
        <f>G6/G2</f>
      </c>
      <c r="H7" s="3" t="s">
        <v>12</v>
      </c>
    </row>
    <row x14ac:dyDescent="0.25" r="8" customHeight="1" ht="19.5">
      <c r="A8" s="3" t="s">
        <v>17</v>
      </c>
      <c r="B8" s="9">
        <f>B6*B7</f>
      </c>
      <c r="C8" s="3" t="s">
        <v>12</v>
      </c>
      <c r="D8" s="3"/>
      <c r="E8" s="3"/>
      <c r="F8" s="3" t="s">
        <v>18</v>
      </c>
      <c r="G8" s="6">
        <f>G7/B2</f>
      </c>
      <c r="H8" s="3" t="s">
        <v>12</v>
      </c>
    </row>
    <row x14ac:dyDescent="0.25" r="9" customHeight="1" ht="19.5">
      <c r="A9" s="3" t="s">
        <v>19</v>
      </c>
      <c r="B9" s="5">
        <v>76</v>
      </c>
      <c r="C9" s="3" t="s">
        <v>12</v>
      </c>
      <c r="D9" s="3"/>
      <c r="E9" s="3"/>
      <c r="F9" s="3" t="s">
        <v>20</v>
      </c>
      <c r="G9" s="6">
        <f>G8/B8</f>
      </c>
      <c r="H9" s="3" t="s">
        <v>21</v>
      </c>
    </row>
    <row x14ac:dyDescent="0.25" r="10" customHeight="1" ht="19.5">
      <c r="A10" s="3"/>
      <c r="B10" s="2"/>
      <c r="C10" s="3"/>
      <c r="D10" s="3"/>
      <c r="E10" s="3"/>
      <c r="F10" s="3" t="s">
        <v>22</v>
      </c>
      <c r="G10" s="6">
        <f>G8/2</f>
      </c>
      <c r="H10" s="3" t="s">
        <v>23</v>
      </c>
    </row>
    <row x14ac:dyDescent="0.25" r="11" customHeight="1" ht="19.5">
      <c r="A11" s="3"/>
      <c r="B11" s="2"/>
      <c r="C11" s="3"/>
      <c r="D11" s="3"/>
      <c r="E11" s="3"/>
      <c r="F11" s="3"/>
      <c r="G11" s="4"/>
      <c r="H11" s="3"/>
    </row>
    <row x14ac:dyDescent="0.25" r="12" customHeight="1" ht="19.5">
      <c r="A12" s="3"/>
      <c r="B12" s="2"/>
      <c r="C12" s="3"/>
      <c r="D12" s="3"/>
      <c r="E12" s="3"/>
      <c r="F12" s="3" t="s">
        <v>24</v>
      </c>
      <c r="G12" s="4"/>
      <c r="H12" s="3"/>
    </row>
    <row x14ac:dyDescent="0.25" r="13" customHeight="1" ht="19.5">
      <c r="A13" s="3"/>
      <c r="B13" s="2"/>
      <c r="C13" s="3"/>
      <c r="D13" s="3"/>
      <c r="E13" s="3"/>
      <c r="F13" s="3" t="s">
        <v>25</v>
      </c>
      <c r="G13" s="4"/>
      <c r="H13" s="3"/>
    </row>
    <row x14ac:dyDescent="0.25" r="14" customHeight="1" ht="19.5">
      <c r="A14" s="3"/>
      <c r="B14" s="2"/>
      <c r="C14" s="3"/>
      <c r="D14" s="3"/>
      <c r="E14" s="3"/>
      <c r="F14" s="3" t="s">
        <v>26</v>
      </c>
      <c r="G14" s="6">
        <v>5310.67</v>
      </c>
      <c r="H14" s="3" t="s">
        <v>27</v>
      </c>
    </row>
    <row x14ac:dyDescent="0.25" r="15" customHeight="1" ht="19.5">
      <c r="A15" s="3"/>
      <c r="B15" s="2"/>
      <c r="C15" s="3"/>
      <c r="D15" s="3"/>
      <c r="E15" s="3"/>
      <c r="F15" s="3" t="s">
        <v>28</v>
      </c>
      <c r="G15" s="5">
        <f>B8*40*B2</f>
      </c>
      <c r="H15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Details</vt:lpstr>
      <vt:lpstr>Cost</vt:lpstr>
      <vt:lpstr>Driver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2026-03-09T16:17:34.690Z</dcterms:created>
  <dcterms:modified xsi:type="dcterms:W3CDTF">2026-03-09T16:17:34.690Z</dcterms:modified>
</cp:coreProperties>
</file>